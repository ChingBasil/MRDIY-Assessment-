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Job apply\Mr DIY\Junior Data Engineer Assessment\"/>
    </mc:Choice>
  </mc:AlternateContent>
  <xr:revisionPtr revIDLastSave="0" documentId="13_ncr:1_{DDA8AE46-DFBE-4707-A6DB-AA4DD05AFEBF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pivot_table" sheetId="7" r:id="rId1"/>
    <sheet name="excel_test" sheetId="1" r:id="rId2"/>
    <sheet name="sql_test-raw" sheetId="5" r:id="rId3"/>
    <sheet name="sql_test-expected" sheetId="6" r:id="rId4"/>
  </sheets>
  <definedNames>
    <definedName name="_xlnm._FilterDatabase" localSheetId="1" hidden="1">excel_test!$A$1:$J$21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5" i="1"/>
  <c r="M4" i="1"/>
  <c r="M3" i="1"/>
  <c r="M2" i="1"/>
</calcChain>
</file>

<file path=xl/sharedStrings.xml><?xml version="1.0" encoding="utf-8"?>
<sst xmlns="http://schemas.openxmlformats.org/spreadsheetml/2006/main" count="309" uniqueCount="65">
  <si>
    <t>Order ID</t>
  </si>
  <si>
    <t>Date</t>
  </si>
  <si>
    <t>Customer Name</t>
  </si>
  <si>
    <t>Region</t>
  </si>
  <si>
    <t>Product</t>
  </si>
  <si>
    <t>Quantity</t>
  </si>
  <si>
    <t>Unit Price</t>
  </si>
  <si>
    <t>Discount</t>
  </si>
  <si>
    <t>Status</t>
  </si>
  <si>
    <t>Alice</t>
  </si>
  <si>
    <t>Bob</t>
  </si>
  <si>
    <t>Charlie</t>
  </si>
  <si>
    <t>David</t>
  </si>
  <si>
    <t>Eva</t>
  </si>
  <si>
    <t>North</t>
  </si>
  <si>
    <t>South</t>
  </si>
  <si>
    <t>East</t>
  </si>
  <si>
    <t>West</t>
  </si>
  <si>
    <t>Product A</t>
  </si>
  <si>
    <t>Product B</t>
  </si>
  <si>
    <t>Product C</t>
  </si>
  <si>
    <t>Product D</t>
  </si>
  <si>
    <t>Completed</t>
  </si>
  <si>
    <t>Pending</t>
  </si>
  <si>
    <t>Shipped</t>
  </si>
  <si>
    <t>Cancelled</t>
  </si>
  <si>
    <t>Total Sales amt</t>
  </si>
  <si>
    <t>store_code</t>
  </si>
  <si>
    <t>S001</t>
  </si>
  <si>
    <t>S002</t>
  </si>
  <si>
    <t>S003</t>
  </si>
  <si>
    <t>S004</t>
  </si>
  <si>
    <t>S005</t>
  </si>
  <si>
    <t>S006</t>
  </si>
  <si>
    <t>S007</t>
  </si>
  <si>
    <t>sales_qty</t>
  </si>
  <si>
    <t>month</t>
  </si>
  <si>
    <t>product</t>
  </si>
  <si>
    <t>category</t>
  </si>
  <si>
    <t>sales_amt</t>
  </si>
  <si>
    <t>sales_cost</t>
  </si>
  <si>
    <t>ProdA</t>
  </si>
  <si>
    <t>Beverage</t>
  </si>
  <si>
    <t>ProdB</t>
  </si>
  <si>
    <t>ProdC</t>
  </si>
  <si>
    <t>Snack</t>
  </si>
  <si>
    <t>ProdD</t>
  </si>
  <si>
    <t>ProdE</t>
  </si>
  <si>
    <t>Dairy</t>
  </si>
  <si>
    <t>ProdF</t>
  </si>
  <si>
    <t xml:space="preserve"> </t>
  </si>
  <si>
    <t>sales qty contribution by category</t>
  </si>
  <si>
    <t>sales amt contribution by category</t>
  </si>
  <si>
    <t>sales cost contribution by category</t>
  </si>
  <si>
    <t>profit contribution by category</t>
  </si>
  <si>
    <t>Row Labels</t>
  </si>
  <si>
    <t>Grand Total</t>
  </si>
  <si>
    <t>Column Labels</t>
  </si>
  <si>
    <t>Sum of Total Sales amt</t>
  </si>
  <si>
    <t>(All)</t>
  </si>
  <si>
    <t>Total Revenue Generated:</t>
  </si>
  <si>
    <t>Average Quantity Ordered:</t>
  </si>
  <si>
    <t>Maximum Total Price for “East” Region:</t>
  </si>
  <si>
    <t>Number of orders that were shipped:</t>
  </si>
  <si>
    <t>Unit Price for "Order ID" 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</si>
</sst>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mm\-yy;@"/>
    <numFmt numFmtId="170" formatCode="[$RM-4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170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[excel_sample_data_de.xlsx]pivot_table!PivotTable1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pivot_table!$A$5:$A$9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pivot_table!$B$5:$B$9</c:f>
              <c:numCache>
                <c:formatCode>General</c:formatCode>
                <c:ptCount val="4"/>
                <c:pt idx="2">
                  <c:v>4145.8500000000004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F-4779-9546-8034AB89D986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pivot_table!$A$5:$A$9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pivot_table!$C$5:$C$9</c:f>
              <c:numCache>
                <c:formatCode>General</c:formatCode>
                <c:ptCount val="4"/>
                <c:pt idx="0">
                  <c:v>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F-4779-9546-8034AB89D986}"/>
            </c:ext>
          </c:extLst>
        </c:ser>
        <c:ser>
          <c:idx val="2"/>
          <c:order val="2"/>
          <c:tx>
            <c:strRef>
              <c:f>pivot_table!$D$3:$D$4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pivot_table!$A$5:$A$9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pivot_table!$D$5:$D$9</c:f>
              <c:numCache>
                <c:formatCode>General</c:formatCode>
                <c:ptCount val="4"/>
                <c:pt idx="1">
                  <c:v>1411.5100000000002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1F-4779-9546-8034AB89D986}"/>
            </c:ext>
          </c:extLst>
        </c:ser>
        <c:ser>
          <c:idx val="3"/>
          <c:order val="3"/>
          <c:tx>
            <c:strRef>
              <c:f>pivot_table!$E$3:$E$4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pivot_table!$A$5:$A$9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pivot_table!$E$5:$E$9</c:f>
              <c:numCache>
                <c:formatCode>General</c:formatCode>
                <c:ptCount val="4"/>
                <c:pt idx="3">
                  <c:v>4744.1799999999994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1F-4779-9546-8034AB89D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0043296"/>
        <c:axId val="1800045216"/>
      </c:barChart>
      <c:catAx>
        <c:axId val="180004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45216"/>
        <c:crosses val="autoZero"/>
        <c:auto val="1"/>
        <c:lblAlgn val="ctr"/>
        <c:lblOffset val="100"/>
        <c:noMultiLvlLbl val="0"/>
      </c:catAx>
      <c:valAx>
        <c:axId val="18000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9525</xdr:rowOff>
    </xdr:from>
    <xdr:to>
      <xdr:col>14</xdr:col>
      <xdr:colOff>304800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0E484-B324-7675-C385-BDE2750F5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991667824077" createdVersion="8" refreshedVersion="8" minRefreshableVersion="3" recordCount="20" xr:uid="{FFEC71B1-5CBD-4842-BEBE-3D214C486066}">
  <cacheSource type="worksheet">
    <worksheetSource ref="A1:J21" sheet="excel_test"/>
  </cacheSource>
  <cacheFields count="10">
    <cacheField name="Order ID" numFmtId="0">
      <sharedItems containsSemiMixedTypes="0" containsString="0" containsNumber="1" containsInteger="1" minValue="1001" maxValue="1020"/>
    </cacheField>
    <cacheField name="Date" numFmtId="164">
      <sharedItems containsSemiMixedTypes="0" containsNonDate="0" containsDate="1" containsString="0" minDate="2024-01-01T00:00:00" maxDate="2024-01-21T00:00:00"/>
    </cacheField>
    <cacheField name="Customer 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Quantity" numFmtId="0">
      <sharedItems containsSemiMixedTypes="0" containsString="0" containsNumber="1" containsInteger="1" minValue="1" maxValue="19"/>
    </cacheField>
    <cacheField name="Unit Price" numFmtId="0">
      <sharedItems containsSemiMixedTypes="0" containsString="0" containsNumber="1" minValue="61.78" maxValue="96.82"/>
    </cacheField>
    <cacheField name="Discount" numFmtId="0">
      <sharedItems containsSemiMixedTypes="0" containsString="0" containsNumber="1" minValue="0" maxValue="0.2"/>
    </cacheField>
    <cacheField name="Status" numFmtId="0">
      <sharedItems count="4">
        <s v="Pending"/>
        <s v="Shipped"/>
        <s v="Completed"/>
        <s v="Cancelled"/>
      </sharedItems>
    </cacheField>
    <cacheField name="Total Sales amt" numFmtId="0">
      <sharedItems containsSemiMixedTypes="0" containsString="0" containsNumber="1" minValue="61.78" maxValue="1839.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4-01-01T00:00:00"/>
    <s v="Alice"/>
    <x v="0"/>
    <x v="0"/>
    <n v="1"/>
    <n v="61.78"/>
    <n v="0.1"/>
    <x v="0"/>
    <n v="61.78"/>
  </r>
  <r>
    <n v="1005"/>
    <d v="2024-01-05T00:00:00"/>
    <s v="Eva"/>
    <x v="0"/>
    <x v="0"/>
    <n v="5"/>
    <n v="61.78"/>
    <n v="0.2"/>
    <x v="1"/>
    <n v="308.89999999999998"/>
  </r>
  <r>
    <n v="1009"/>
    <d v="2024-01-09T00:00:00"/>
    <s v="David"/>
    <x v="0"/>
    <x v="0"/>
    <n v="19"/>
    <n v="61.78"/>
    <n v="0.1"/>
    <x v="1"/>
    <n v="1173.82"/>
  </r>
  <r>
    <n v="1013"/>
    <d v="2024-01-13T00:00:00"/>
    <s v="Charlie"/>
    <x v="0"/>
    <x v="0"/>
    <n v="9"/>
    <n v="61.78"/>
    <n v="0.2"/>
    <x v="1"/>
    <n v="556.02"/>
  </r>
  <r>
    <n v="1017"/>
    <d v="2024-01-17T00:00:00"/>
    <s v="Bob"/>
    <x v="0"/>
    <x v="0"/>
    <n v="16"/>
    <n v="61.78"/>
    <n v="0.15"/>
    <x v="2"/>
    <n v="988.48"/>
  </r>
  <r>
    <n v="1002"/>
    <d v="2024-01-02T00:00:00"/>
    <s v="Bob"/>
    <x v="1"/>
    <x v="1"/>
    <n v="2"/>
    <n v="74.290000000000006"/>
    <n v="0.1"/>
    <x v="3"/>
    <n v="148.58000000000001"/>
  </r>
  <r>
    <n v="1006"/>
    <d v="2024-01-06T00:00:00"/>
    <s v="Alice"/>
    <x v="1"/>
    <x v="1"/>
    <n v="5"/>
    <n v="74.290000000000006"/>
    <n v="0.1"/>
    <x v="2"/>
    <n v="371.45000000000005"/>
  </r>
  <r>
    <n v="1010"/>
    <d v="2024-01-10T00:00:00"/>
    <s v="Eva"/>
    <x v="1"/>
    <x v="1"/>
    <n v="4"/>
    <n v="74.290000000000006"/>
    <n v="0"/>
    <x v="1"/>
    <n v="297.16000000000003"/>
  </r>
  <r>
    <n v="1014"/>
    <d v="2024-01-14T00:00:00"/>
    <s v="David"/>
    <x v="1"/>
    <x v="1"/>
    <n v="2"/>
    <n v="74.290000000000006"/>
    <n v="0"/>
    <x v="3"/>
    <n v="148.58000000000001"/>
  </r>
  <r>
    <n v="1018"/>
    <d v="2024-01-18T00:00:00"/>
    <s v="Charlie"/>
    <x v="1"/>
    <x v="1"/>
    <n v="6"/>
    <n v="74.290000000000006"/>
    <n v="0.15"/>
    <x v="2"/>
    <n v="445.74"/>
  </r>
  <r>
    <n v="1003"/>
    <d v="2024-01-03T00:00:00"/>
    <s v="Charlie"/>
    <x v="2"/>
    <x v="2"/>
    <n v="9"/>
    <n v="92.13"/>
    <n v="0.2"/>
    <x v="0"/>
    <n v="829.17"/>
  </r>
  <r>
    <n v="1007"/>
    <d v="2024-01-07T00:00:00"/>
    <s v="Bob"/>
    <x v="2"/>
    <x v="2"/>
    <n v="10"/>
    <n v="92.13"/>
    <n v="0.15"/>
    <x v="3"/>
    <n v="921.3"/>
  </r>
  <r>
    <n v="1011"/>
    <d v="2024-01-11T00:00:00"/>
    <s v="Alice"/>
    <x v="2"/>
    <x v="2"/>
    <n v="5"/>
    <n v="92.13"/>
    <n v="0.15"/>
    <x v="0"/>
    <n v="460.65"/>
  </r>
  <r>
    <n v="1015"/>
    <d v="2024-01-15T00:00:00"/>
    <s v="Eva"/>
    <x v="2"/>
    <x v="2"/>
    <n v="10"/>
    <n v="92.13"/>
    <n v="0.15"/>
    <x v="1"/>
    <n v="921.3"/>
  </r>
  <r>
    <n v="1019"/>
    <d v="2024-01-19T00:00:00"/>
    <s v="David"/>
    <x v="2"/>
    <x v="2"/>
    <n v="11"/>
    <n v="92.13"/>
    <n v="0"/>
    <x v="2"/>
    <n v="1013.43"/>
  </r>
  <r>
    <n v="1004"/>
    <d v="2024-01-04T00:00:00"/>
    <s v="David"/>
    <x v="3"/>
    <x v="3"/>
    <n v="2"/>
    <n v="96.82"/>
    <n v="0.2"/>
    <x v="3"/>
    <n v="193.64"/>
  </r>
  <r>
    <n v="1008"/>
    <d v="2024-01-08T00:00:00"/>
    <s v="Charlie"/>
    <x v="3"/>
    <x v="3"/>
    <n v="13"/>
    <n v="96.82"/>
    <n v="0.15"/>
    <x v="1"/>
    <n v="1258.6599999999999"/>
  </r>
  <r>
    <n v="1012"/>
    <d v="2024-01-12T00:00:00"/>
    <s v="Bob"/>
    <x v="3"/>
    <x v="3"/>
    <n v="8"/>
    <n v="96.82"/>
    <n v="0.1"/>
    <x v="0"/>
    <n v="774.56"/>
  </r>
  <r>
    <n v="1016"/>
    <d v="2024-01-16T00:00:00"/>
    <s v="Alice"/>
    <x v="3"/>
    <x v="3"/>
    <n v="19"/>
    <n v="96.82"/>
    <n v="0.15"/>
    <x v="2"/>
    <n v="1839.58"/>
  </r>
  <r>
    <n v="1020"/>
    <d v="2024-01-20T00:00:00"/>
    <s v="Eva"/>
    <x v="3"/>
    <x v="3"/>
    <n v="7"/>
    <n v="96.82"/>
    <n v="0.15"/>
    <x v="3"/>
    <n v="677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77FC9-67C1-4496-882F-70A69A05012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F9" firstHeaderRow="1" firstDataRow="2" firstDataCol="1" rowPageCount="1" colPageCount="1"/>
  <pivotFields count="10">
    <pivotField showAll="0"/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8" hier="-1"/>
  </pageFields>
  <dataFields count="1">
    <dataField name="Sum of Total Sales amt" fld="9" baseField="0" baseItem="0"/>
  </dataFields>
  <chartFormats count="4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C627-15F9-4AA4-84AF-39D912625305}">
  <dimension ref="A1:F9"/>
  <sheetViews>
    <sheetView workbookViewId="0">
      <selection activeCell="I21" sqref="I21"/>
    </sheetView>
  </sheetViews>
  <sheetFormatPr defaultRowHeight="15" x14ac:dyDescent="0.25"/>
  <cols>
    <col min="1" max="1" width="21.140625" bestFit="1" customWidth="1"/>
    <col min="2" max="2" width="16.28515625" bestFit="1" customWidth="1"/>
    <col min="3" max="3" width="6.140625" bestFit="1" customWidth="1"/>
    <col min="4" max="5" width="8" bestFit="1" customWidth="1"/>
    <col min="6" max="6" width="11.28515625" bestFit="1" customWidth="1"/>
  </cols>
  <sheetData>
    <row r="1" spans="1:6" x14ac:dyDescent="0.25">
      <c r="A1" s="6" t="s">
        <v>8</v>
      </c>
      <c r="B1" t="s">
        <v>59</v>
      </c>
    </row>
    <row r="3" spans="1:6" x14ac:dyDescent="0.25">
      <c r="A3" s="6" t="s">
        <v>58</v>
      </c>
      <c r="B3" s="6" t="s">
        <v>57</v>
      </c>
    </row>
    <row r="4" spans="1:6" x14ac:dyDescent="0.25">
      <c r="A4" s="6" t="s">
        <v>55</v>
      </c>
      <c r="B4" t="s">
        <v>16</v>
      </c>
      <c r="C4" t="s">
        <v>14</v>
      </c>
      <c r="D4" t="s">
        <v>15</v>
      </c>
      <c r="E4" t="s">
        <v>17</v>
      </c>
      <c r="F4" t="s">
        <v>56</v>
      </c>
    </row>
    <row r="5" spans="1:6" x14ac:dyDescent="0.25">
      <c r="A5" s="7" t="s">
        <v>18</v>
      </c>
      <c r="B5" s="8"/>
      <c r="C5" s="8">
        <v>3089</v>
      </c>
      <c r="D5" s="8"/>
      <c r="E5" s="8"/>
      <c r="F5" s="8">
        <v>3089</v>
      </c>
    </row>
    <row r="6" spans="1:6" x14ac:dyDescent="0.25">
      <c r="A6" s="7" t="s">
        <v>19</v>
      </c>
      <c r="B6" s="8"/>
      <c r="C6" s="8"/>
      <c r="D6" s="8">
        <v>1411.5100000000002</v>
      </c>
      <c r="E6" s="8"/>
      <c r="F6" s="8">
        <v>1411.5100000000002</v>
      </c>
    </row>
    <row r="7" spans="1:6" x14ac:dyDescent="0.25">
      <c r="A7" s="7" t="s">
        <v>20</v>
      </c>
      <c r="B7" s="8">
        <v>4145.8500000000004</v>
      </c>
      <c r="C7" s="8"/>
      <c r="D7" s="8"/>
      <c r="E7" s="8"/>
      <c r="F7" s="8">
        <v>4145.8500000000004</v>
      </c>
    </row>
    <row r="8" spans="1:6" x14ac:dyDescent="0.25">
      <c r="A8" s="7" t="s">
        <v>21</v>
      </c>
      <c r="B8" s="8"/>
      <c r="C8" s="8"/>
      <c r="D8" s="8"/>
      <c r="E8" s="8">
        <v>4744.1799999999994</v>
      </c>
      <c r="F8" s="8">
        <v>4744.1799999999994</v>
      </c>
    </row>
    <row r="9" spans="1:6" x14ac:dyDescent="0.25">
      <c r="A9" s="7" t="s">
        <v>56</v>
      </c>
      <c r="B9" s="8">
        <v>4145.8500000000004</v>
      </c>
      <c r="C9" s="8">
        <v>3089</v>
      </c>
      <c r="D9" s="8">
        <v>1411.5100000000002</v>
      </c>
      <c r="E9" s="8">
        <v>4744.1799999999994</v>
      </c>
      <c r="F9" s="8">
        <v>13390.54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1"/>
  <sheetViews>
    <sheetView workbookViewId="0">
      <selection activeCell="G25" sqref="G25"/>
    </sheetView>
  </sheetViews>
  <sheetFormatPr defaultRowHeight="15" x14ac:dyDescent="0.25"/>
  <cols>
    <col min="1" max="1" width="11" bestFit="1" customWidth="1"/>
    <col min="2" max="2" width="12" bestFit="1" customWidth="1"/>
    <col min="3" max="3" width="15.42578125" bestFit="1" customWidth="1"/>
    <col min="4" max="4" width="7.140625" bestFit="1" customWidth="1"/>
    <col min="5" max="5" width="9.5703125" bestFit="1" customWidth="1"/>
    <col min="6" max="6" width="8.85546875" bestFit="1" customWidth="1"/>
    <col min="7" max="7" width="9.7109375" bestFit="1" customWidth="1"/>
    <col min="8" max="8" width="8.85546875" bestFit="1" customWidth="1"/>
    <col min="9" max="9" width="10.85546875" bestFit="1" customWidth="1"/>
    <col min="10" max="10" width="14.5703125" bestFit="1" customWidth="1"/>
    <col min="12" max="12" width="36.85546875" customWidth="1"/>
  </cols>
  <sheetData>
    <row r="1" spans="1:1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26</v>
      </c>
      <c r="M1" s="9"/>
    </row>
    <row r="2" spans="1:15" x14ac:dyDescent="0.25">
      <c r="A2" s="10">
        <v>1001</v>
      </c>
      <c r="B2" s="10">
        <v>45292</v>
      </c>
      <c r="C2" s="10" t="s">
        <v>9</v>
      </c>
      <c r="D2" s="10" t="s">
        <v>14</v>
      </c>
      <c r="E2" s="10" t="s">
        <v>18</v>
      </c>
      <c r="F2" s="10">
        <v>1</v>
      </c>
      <c r="G2" s="10">
        <v>61.78</v>
      </c>
      <c r="H2" s="10">
        <v>0.1</v>
      </c>
      <c r="I2" s="10" t="s">
        <v>23</v>
      </c>
      <c r="J2" s="10">
        <v>61.78</v>
      </c>
      <c r="L2" s="5" t="s">
        <v>60</v>
      </c>
      <c r="M2" s="9">
        <f>SUMIF(I2:I21,"Completed",J2:J21)</f>
        <v>4658.68</v>
      </c>
      <c r="N2" s="5"/>
      <c r="O2" s="5"/>
    </row>
    <row r="3" spans="1:15" x14ac:dyDescent="0.25">
      <c r="A3" s="10">
        <v>1005</v>
      </c>
      <c r="B3" s="10">
        <v>45296</v>
      </c>
      <c r="C3" s="10" t="s">
        <v>13</v>
      </c>
      <c r="D3" s="10" t="s">
        <v>14</v>
      </c>
      <c r="E3" s="10" t="s">
        <v>18</v>
      </c>
      <c r="F3" s="10">
        <v>5</v>
      </c>
      <c r="G3" s="10">
        <v>61.78</v>
      </c>
      <c r="H3" s="10">
        <v>0.2</v>
      </c>
      <c r="I3" s="10" t="s">
        <v>24</v>
      </c>
      <c r="J3" s="10">
        <v>308.89999999999998</v>
      </c>
      <c r="L3" s="5" t="s">
        <v>61</v>
      </c>
      <c r="M3" s="9">
        <f>AVERAGEIF(E2:E21,"Product A",F2:F21)</f>
        <v>10</v>
      </c>
      <c r="N3" s="5"/>
      <c r="O3" s="5"/>
    </row>
    <row r="4" spans="1:15" x14ac:dyDescent="0.25">
      <c r="A4" s="10">
        <v>1009</v>
      </c>
      <c r="B4" s="10">
        <v>45300</v>
      </c>
      <c r="C4" s="10" t="s">
        <v>12</v>
      </c>
      <c r="D4" s="10" t="s">
        <v>14</v>
      </c>
      <c r="E4" s="10" t="s">
        <v>18</v>
      </c>
      <c r="F4" s="10">
        <v>19</v>
      </c>
      <c r="G4" s="10">
        <v>61.78</v>
      </c>
      <c r="H4" s="10">
        <v>0.1</v>
      </c>
      <c r="I4" s="10" t="s">
        <v>24</v>
      </c>
      <c r="J4" s="10">
        <v>1173.82</v>
      </c>
      <c r="L4" s="5" t="s">
        <v>62</v>
      </c>
      <c r="M4" s="9">
        <f>_xlfn.MAXIFS(J2:J21,D2:D21,"East")</f>
        <v>1013.43</v>
      </c>
      <c r="N4" s="5"/>
      <c r="O4" s="5"/>
    </row>
    <row r="5" spans="1:15" x14ac:dyDescent="0.25">
      <c r="A5" s="10">
        <v>1013</v>
      </c>
      <c r="B5" s="10">
        <v>45304</v>
      </c>
      <c r="C5" s="10" t="s">
        <v>11</v>
      </c>
      <c r="D5" s="10" t="s">
        <v>14</v>
      </c>
      <c r="E5" s="10" t="s">
        <v>18</v>
      </c>
      <c r="F5" s="10">
        <v>9</v>
      </c>
      <c r="G5" s="10">
        <v>61.78</v>
      </c>
      <c r="H5" s="10">
        <v>0.2</v>
      </c>
      <c r="I5" s="10" t="s">
        <v>24</v>
      </c>
      <c r="J5" s="10">
        <v>556.02</v>
      </c>
      <c r="L5" s="5" t="s">
        <v>63</v>
      </c>
      <c r="M5" s="9">
        <f>COUNTIF(I2:I21,"Shipped")</f>
        <v>6</v>
      </c>
      <c r="N5" s="5"/>
      <c r="O5" s="5"/>
    </row>
    <row r="6" spans="1:15" x14ac:dyDescent="0.25">
      <c r="A6" s="10">
        <v>1017</v>
      </c>
      <c r="B6" s="10">
        <v>45308</v>
      </c>
      <c r="C6" s="10" t="s">
        <v>10</v>
      </c>
      <c r="D6" s="10" t="s">
        <v>14</v>
      </c>
      <c r="E6" s="10" t="s">
        <v>18</v>
      </c>
      <c r="F6" s="10">
        <v>16</v>
      </c>
      <c r="G6" s="10">
        <v>61.78</v>
      </c>
      <c r="H6" s="10">
        <v>0.15</v>
      </c>
      <c r="I6" s="10" t="s">
        <v>22</v>
      </c>
      <c r="J6" s="10">
        <v>988.48</v>
      </c>
    </row>
    <row r="7" spans="1:15" hidden="1" x14ac:dyDescent="0.25">
      <c r="A7">
        <v>1002</v>
      </c>
      <c r="B7" s="1">
        <v>45293</v>
      </c>
      <c r="C7" t="s">
        <v>10</v>
      </c>
      <c r="D7" t="s">
        <v>15</v>
      </c>
      <c r="E7" t="s">
        <v>19</v>
      </c>
      <c r="F7">
        <v>2</v>
      </c>
      <c r="G7">
        <v>74.290000000000006</v>
      </c>
      <c r="H7">
        <v>0.1</v>
      </c>
      <c r="I7" t="s">
        <v>25</v>
      </c>
      <c r="J7">
        <v>148.58000000000001</v>
      </c>
    </row>
    <row r="8" spans="1:15" x14ac:dyDescent="0.25">
      <c r="A8" s="10">
        <v>1006</v>
      </c>
      <c r="B8" s="10">
        <v>45297</v>
      </c>
      <c r="C8" s="10" t="s">
        <v>9</v>
      </c>
      <c r="D8" s="10" t="s">
        <v>15</v>
      </c>
      <c r="E8" s="10" t="s">
        <v>19</v>
      </c>
      <c r="F8" s="10">
        <v>5</v>
      </c>
      <c r="G8" s="10">
        <v>74.290000000000006</v>
      </c>
      <c r="H8" s="10">
        <v>0.1</v>
      </c>
      <c r="I8" s="10" t="s">
        <v>22</v>
      </c>
      <c r="J8" s="10">
        <v>371.45000000000005</v>
      </c>
    </row>
    <row r="9" spans="1:15" x14ac:dyDescent="0.25">
      <c r="A9" s="10">
        <v>1010</v>
      </c>
      <c r="B9" s="10">
        <v>45301</v>
      </c>
      <c r="C9" s="10" t="s">
        <v>13</v>
      </c>
      <c r="D9" s="10" t="s">
        <v>15</v>
      </c>
      <c r="E9" s="10" t="s">
        <v>19</v>
      </c>
      <c r="F9" s="10">
        <v>4</v>
      </c>
      <c r="G9" s="10">
        <v>74.290000000000006</v>
      </c>
      <c r="H9" s="10">
        <v>0</v>
      </c>
      <c r="I9" s="10" t="s">
        <v>24</v>
      </c>
      <c r="J9" s="10">
        <v>297.16000000000003</v>
      </c>
      <c r="L9" s="5" t="s">
        <v>64</v>
      </c>
      <c r="M9">
        <f>VLOOKUP(1005,A2:G21,7,FALSE)</f>
        <v>61.78</v>
      </c>
    </row>
    <row r="10" spans="1:15" hidden="1" x14ac:dyDescent="0.25">
      <c r="A10">
        <v>1014</v>
      </c>
      <c r="B10" s="1">
        <v>45305</v>
      </c>
      <c r="C10" t="s">
        <v>12</v>
      </c>
      <c r="D10" t="s">
        <v>15</v>
      </c>
      <c r="E10" t="s">
        <v>19</v>
      </c>
      <c r="F10">
        <v>2</v>
      </c>
      <c r="G10">
        <v>74.290000000000006</v>
      </c>
      <c r="H10">
        <v>0</v>
      </c>
      <c r="I10" t="s">
        <v>25</v>
      </c>
      <c r="J10">
        <v>148.58000000000001</v>
      </c>
    </row>
    <row r="11" spans="1:15" x14ac:dyDescent="0.25">
      <c r="A11" s="10">
        <v>1018</v>
      </c>
      <c r="B11" s="10">
        <v>45309</v>
      </c>
      <c r="C11" s="10" t="s">
        <v>11</v>
      </c>
      <c r="D11" s="10" t="s">
        <v>15</v>
      </c>
      <c r="E11" s="10" t="s">
        <v>19</v>
      </c>
      <c r="F11" s="10">
        <v>6</v>
      </c>
      <c r="G11" s="10">
        <v>74.290000000000006</v>
      </c>
      <c r="H11" s="10">
        <v>0.15</v>
      </c>
      <c r="I11" s="10" t="s">
        <v>22</v>
      </c>
      <c r="J11" s="10">
        <v>445.74</v>
      </c>
    </row>
    <row r="12" spans="1:15" x14ac:dyDescent="0.25">
      <c r="A12" s="10">
        <v>1003</v>
      </c>
      <c r="B12" s="10">
        <v>45294</v>
      </c>
      <c r="C12" s="10" t="s">
        <v>11</v>
      </c>
      <c r="D12" s="10" t="s">
        <v>16</v>
      </c>
      <c r="E12" s="10" t="s">
        <v>20</v>
      </c>
      <c r="F12" s="10">
        <v>9</v>
      </c>
      <c r="G12" s="10">
        <v>92.13</v>
      </c>
      <c r="H12" s="10">
        <v>0.2</v>
      </c>
      <c r="I12" s="10" t="s">
        <v>23</v>
      </c>
      <c r="J12" s="10">
        <v>829.17</v>
      </c>
    </row>
    <row r="13" spans="1:15" hidden="1" x14ac:dyDescent="0.25">
      <c r="A13">
        <v>1007</v>
      </c>
      <c r="B13" s="1">
        <v>45298</v>
      </c>
      <c r="C13" t="s">
        <v>10</v>
      </c>
      <c r="D13" t="s">
        <v>16</v>
      </c>
      <c r="E13" t="s">
        <v>20</v>
      </c>
      <c r="F13">
        <v>10</v>
      </c>
      <c r="G13">
        <v>92.13</v>
      </c>
      <c r="H13">
        <v>0.15</v>
      </c>
      <c r="I13" t="s">
        <v>25</v>
      </c>
      <c r="J13">
        <v>921.3</v>
      </c>
    </row>
    <row r="14" spans="1:15" x14ac:dyDescent="0.25">
      <c r="A14" s="10">
        <v>1011</v>
      </c>
      <c r="B14" s="10">
        <v>45302</v>
      </c>
      <c r="C14" s="10" t="s">
        <v>9</v>
      </c>
      <c r="D14" s="10" t="s">
        <v>16</v>
      </c>
      <c r="E14" s="10" t="s">
        <v>20</v>
      </c>
      <c r="F14" s="10">
        <v>5</v>
      </c>
      <c r="G14" s="10">
        <v>92.13</v>
      </c>
      <c r="H14" s="10">
        <v>0.15</v>
      </c>
      <c r="I14" s="10" t="s">
        <v>23</v>
      </c>
      <c r="J14" s="10">
        <v>460.65</v>
      </c>
    </row>
    <row r="15" spans="1:15" x14ac:dyDescent="0.25">
      <c r="A15" s="10">
        <v>1015</v>
      </c>
      <c r="B15" s="10">
        <v>45306</v>
      </c>
      <c r="C15" s="10" t="s">
        <v>13</v>
      </c>
      <c r="D15" s="10" t="s">
        <v>16</v>
      </c>
      <c r="E15" s="10" t="s">
        <v>20</v>
      </c>
      <c r="F15" s="10">
        <v>10</v>
      </c>
      <c r="G15" s="10">
        <v>92.13</v>
      </c>
      <c r="H15" s="10">
        <v>0.15</v>
      </c>
      <c r="I15" s="10" t="s">
        <v>24</v>
      </c>
      <c r="J15" s="10">
        <v>921.3</v>
      </c>
    </row>
    <row r="16" spans="1:15" x14ac:dyDescent="0.25">
      <c r="A16" s="10">
        <v>1019</v>
      </c>
      <c r="B16" s="10">
        <v>45310</v>
      </c>
      <c r="C16" s="10" t="s">
        <v>12</v>
      </c>
      <c r="D16" s="10" t="s">
        <v>16</v>
      </c>
      <c r="E16" s="10" t="s">
        <v>20</v>
      </c>
      <c r="F16" s="10">
        <v>11</v>
      </c>
      <c r="G16" s="10">
        <v>92.13</v>
      </c>
      <c r="H16" s="10">
        <v>0</v>
      </c>
      <c r="I16" s="10" t="s">
        <v>22</v>
      </c>
      <c r="J16" s="10">
        <v>1013.43</v>
      </c>
    </row>
    <row r="17" spans="1:10" hidden="1" x14ac:dyDescent="0.25">
      <c r="A17">
        <v>1004</v>
      </c>
      <c r="B17" s="1">
        <v>45295</v>
      </c>
      <c r="C17" t="s">
        <v>12</v>
      </c>
      <c r="D17" t="s">
        <v>17</v>
      </c>
      <c r="E17" t="s">
        <v>21</v>
      </c>
      <c r="F17">
        <v>2</v>
      </c>
      <c r="G17">
        <v>96.82</v>
      </c>
      <c r="H17">
        <v>0.2</v>
      </c>
      <c r="I17" t="s">
        <v>25</v>
      </c>
      <c r="J17">
        <v>193.64</v>
      </c>
    </row>
    <row r="18" spans="1:10" x14ac:dyDescent="0.25">
      <c r="A18" s="10">
        <v>1008</v>
      </c>
      <c r="B18" s="10">
        <v>45299</v>
      </c>
      <c r="C18" s="10" t="s">
        <v>11</v>
      </c>
      <c r="D18" s="10" t="s">
        <v>17</v>
      </c>
      <c r="E18" s="10" t="s">
        <v>21</v>
      </c>
      <c r="F18" s="10">
        <v>13</v>
      </c>
      <c r="G18" s="10">
        <v>96.82</v>
      </c>
      <c r="H18" s="10">
        <v>0.15</v>
      </c>
      <c r="I18" s="10" t="s">
        <v>24</v>
      </c>
      <c r="J18" s="10">
        <v>1258.6599999999999</v>
      </c>
    </row>
    <row r="19" spans="1:10" x14ac:dyDescent="0.25">
      <c r="A19" s="10">
        <v>1012</v>
      </c>
      <c r="B19" s="10">
        <v>45303</v>
      </c>
      <c r="C19" s="10" t="s">
        <v>10</v>
      </c>
      <c r="D19" s="10" t="s">
        <v>17</v>
      </c>
      <c r="E19" s="10" t="s">
        <v>21</v>
      </c>
      <c r="F19" s="10">
        <v>8</v>
      </c>
      <c r="G19" s="10">
        <v>96.82</v>
      </c>
      <c r="H19" s="10">
        <v>0.1</v>
      </c>
      <c r="I19" s="10" t="s">
        <v>23</v>
      </c>
      <c r="J19" s="10">
        <v>774.56</v>
      </c>
    </row>
    <row r="20" spans="1:10" x14ac:dyDescent="0.25">
      <c r="A20" s="10">
        <v>1016</v>
      </c>
      <c r="B20" s="10">
        <v>45307</v>
      </c>
      <c r="C20" s="10" t="s">
        <v>9</v>
      </c>
      <c r="D20" s="10" t="s">
        <v>17</v>
      </c>
      <c r="E20" s="10" t="s">
        <v>21</v>
      </c>
      <c r="F20" s="10">
        <v>19</v>
      </c>
      <c r="G20" s="10">
        <v>96.82</v>
      </c>
      <c r="H20" s="10">
        <v>0.15</v>
      </c>
      <c r="I20" s="10" t="s">
        <v>22</v>
      </c>
      <c r="J20" s="10">
        <v>1839.58</v>
      </c>
    </row>
    <row r="21" spans="1:10" hidden="1" x14ac:dyDescent="0.25">
      <c r="A21">
        <v>1020</v>
      </c>
      <c r="B21" s="1">
        <v>45311</v>
      </c>
      <c r="C21" t="s">
        <v>13</v>
      </c>
      <c r="D21" t="s">
        <v>17</v>
      </c>
      <c r="E21" t="s">
        <v>21</v>
      </c>
      <c r="F21">
        <v>7</v>
      </c>
      <c r="G21">
        <v>96.82</v>
      </c>
      <c r="H21">
        <v>0.15</v>
      </c>
      <c r="I21" t="s">
        <v>25</v>
      </c>
      <c r="J21">
        <v>677.74</v>
      </c>
    </row>
  </sheetData>
  <autoFilter ref="A1:J21" xr:uid="{00000000-0001-0000-0000-000000000000}">
    <filterColumn colId="8">
      <filters>
        <filter val="Completed"/>
        <filter val="Pending"/>
        <filter val="Shipped"/>
      </filters>
    </filterColumn>
  </autoFilter>
  <conditionalFormatting sqref="A2:J20">
    <cfRule type="expression" priority="3">
      <formula>$H2&gt;0.1</formula>
    </cfRule>
    <cfRule type="expression" dxfId="2" priority="2">
      <formula>$H2&gt;0.1</formula>
    </cfRule>
    <cfRule type="expression" dxfId="1" priority="1">
      <formula>$H2&gt;0.1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E4F9-597E-40C0-898F-2E02E73D1C9C}">
  <dimension ref="A1:G49"/>
  <sheetViews>
    <sheetView tabSelected="1" zoomScale="85" zoomScaleNormal="85" workbookViewId="0">
      <selection activeCell="D23" sqref="D23"/>
    </sheetView>
  </sheetViews>
  <sheetFormatPr defaultRowHeight="15" x14ac:dyDescent="0.25"/>
  <cols>
    <col min="1" max="1" width="7.42578125" bestFit="1" customWidth="1"/>
    <col min="2" max="2" width="7.85546875" bestFit="1" customWidth="1"/>
    <col min="3" max="3" width="10.85546875" bestFit="1" customWidth="1"/>
    <col min="4" max="5" width="9.28515625" bestFit="1" customWidth="1"/>
    <col min="6" max="6" width="9.85546875" bestFit="1" customWidth="1"/>
    <col min="7" max="7" width="10" bestFit="1" customWidth="1"/>
  </cols>
  <sheetData>
    <row r="1" spans="1:7" x14ac:dyDescent="0.25">
      <c r="A1" t="s">
        <v>36</v>
      </c>
      <c r="B1" t="s">
        <v>37</v>
      </c>
      <c r="C1" t="s">
        <v>27</v>
      </c>
      <c r="D1" t="s">
        <v>38</v>
      </c>
      <c r="E1" t="s">
        <v>35</v>
      </c>
      <c r="F1" t="s">
        <v>39</v>
      </c>
      <c r="G1" t="s">
        <v>40</v>
      </c>
    </row>
    <row r="2" spans="1:7" x14ac:dyDescent="0.25">
      <c r="A2" s="4">
        <v>45682</v>
      </c>
      <c r="B2" t="s">
        <v>41</v>
      </c>
      <c r="C2" t="s">
        <v>28</v>
      </c>
      <c r="D2" t="s">
        <v>42</v>
      </c>
      <c r="E2">
        <v>120</v>
      </c>
      <c r="F2">
        <v>600</v>
      </c>
      <c r="G2">
        <v>360</v>
      </c>
    </row>
    <row r="3" spans="1:7" x14ac:dyDescent="0.25">
      <c r="A3" s="4">
        <v>45682</v>
      </c>
      <c r="B3" t="s">
        <v>43</v>
      </c>
      <c r="C3" t="s">
        <v>28</v>
      </c>
      <c r="D3" t="s">
        <v>42</v>
      </c>
      <c r="E3">
        <v>140</v>
      </c>
      <c r="F3">
        <v>700</v>
      </c>
      <c r="G3">
        <v>420</v>
      </c>
    </row>
    <row r="4" spans="1:7" x14ac:dyDescent="0.25">
      <c r="A4" s="4">
        <v>45682</v>
      </c>
      <c r="B4" t="s">
        <v>44</v>
      </c>
      <c r="C4" t="s">
        <v>29</v>
      </c>
      <c r="D4" t="s">
        <v>45</v>
      </c>
      <c r="E4">
        <v>180</v>
      </c>
      <c r="F4">
        <v>720</v>
      </c>
      <c r="G4">
        <v>450</v>
      </c>
    </row>
    <row r="5" spans="1:7" x14ac:dyDescent="0.25">
      <c r="A5" s="4">
        <v>45682</v>
      </c>
      <c r="B5" t="s">
        <v>46</v>
      </c>
      <c r="C5" t="s">
        <v>30</v>
      </c>
      <c r="D5" t="s">
        <v>45</v>
      </c>
      <c r="E5">
        <v>150</v>
      </c>
      <c r="F5">
        <v>600</v>
      </c>
      <c r="G5">
        <v>370</v>
      </c>
    </row>
    <row r="6" spans="1:7" x14ac:dyDescent="0.25">
      <c r="A6" s="4">
        <v>45682</v>
      </c>
      <c r="B6" t="s">
        <v>47</v>
      </c>
      <c r="C6" t="s">
        <v>31</v>
      </c>
      <c r="D6" t="s">
        <v>48</v>
      </c>
      <c r="E6">
        <v>200</v>
      </c>
      <c r="F6">
        <v>1000</v>
      </c>
      <c r="G6">
        <v>650</v>
      </c>
    </row>
    <row r="7" spans="1:7" x14ac:dyDescent="0.25">
      <c r="A7" s="4">
        <v>45682</v>
      </c>
      <c r="B7" t="s">
        <v>49</v>
      </c>
      <c r="C7" t="s">
        <v>32</v>
      </c>
      <c r="D7" t="s">
        <v>48</v>
      </c>
      <c r="E7">
        <v>100</v>
      </c>
      <c r="F7">
        <v>500</v>
      </c>
      <c r="G7">
        <v>320</v>
      </c>
    </row>
    <row r="8" spans="1:7" x14ac:dyDescent="0.25">
      <c r="A8" s="4">
        <v>45713</v>
      </c>
      <c r="B8" t="s">
        <v>41</v>
      </c>
      <c r="C8" t="s">
        <v>28</v>
      </c>
      <c r="D8" t="s">
        <v>42</v>
      </c>
      <c r="E8">
        <v>130</v>
      </c>
      <c r="F8">
        <v>650</v>
      </c>
      <c r="G8">
        <v>390</v>
      </c>
    </row>
    <row r="9" spans="1:7" x14ac:dyDescent="0.25">
      <c r="A9" s="4">
        <v>45713</v>
      </c>
      <c r="B9" t="s">
        <v>43</v>
      </c>
      <c r="C9" t="s">
        <v>29</v>
      </c>
      <c r="D9" t="s">
        <v>42</v>
      </c>
      <c r="E9">
        <v>120</v>
      </c>
      <c r="F9">
        <v>600</v>
      </c>
      <c r="G9">
        <v>360</v>
      </c>
    </row>
    <row r="10" spans="1:7" x14ac:dyDescent="0.25">
      <c r="A10" s="4">
        <v>45713</v>
      </c>
      <c r="B10" t="s">
        <v>44</v>
      </c>
      <c r="C10" t="s">
        <v>30</v>
      </c>
      <c r="D10" t="s">
        <v>45</v>
      </c>
      <c r="E10">
        <v>170</v>
      </c>
      <c r="F10">
        <v>680</v>
      </c>
      <c r="G10">
        <v>420</v>
      </c>
    </row>
    <row r="11" spans="1:7" x14ac:dyDescent="0.25">
      <c r="A11" s="4">
        <v>45713</v>
      </c>
      <c r="B11" t="s">
        <v>46</v>
      </c>
      <c r="C11" t="s">
        <v>31</v>
      </c>
      <c r="D11" t="s">
        <v>45</v>
      </c>
      <c r="E11">
        <v>160</v>
      </c>
      <c r="F11">
        <v>640</v>
      </c>
      <c r="G11">
        <v>400</v>
      </c>
    </row>
    <row r="12" spans="1:7" x14ac:dyDescent="0.25">
      <c r="A12" s="4">
        <v>45713</v>
      </c>
      <c r="B12" t="s">
        <v>47</v>
      </c>
      <c r="C12" t="s">
        <v>32</v>
      </c>
      <c r="D12" t="s">
        <v>48</v>
      </c>
      <c r="E12">
        <v>190</v>
      </c>
      <c r="F12">
        <v>950</v>
      </c>
      <c r="G12">
        <v>600</v>
      </c>
    </row>
    <row r="13" spans="1:7" x14ac:dyDescent="0.25">
      <c r="A13" s="4">
        <v>45713</v>
      </c>
      <c r="B13" t="s">
        <v>49</v>
      </c>
      <c r="C13" t="s">
        <v>33</v>
      </c>
      <c r="D13" t="s">
        <v>48</v>
      </c>
      <c r="E13">
        <v>110</v>
      </c>
      <c r="F13">
        <v>550</v>
      </c>
      <c r="G13">
        <v>350</v>
      </c>
    </row>
    <row r="14" spans="1:7" x14ac:dyDescent="0.25">
      <c r="A14" s="4">
        <v>45741</v>
      </c>
      <c r="B14" t="s">
        <v>41</v>
      </c>
      <c r="C14" t="s">
        <v>28</v>
      </c>
      <c r="D14" t="s">
        <v>42</v>
      </c>
      <c r="E14">
        <v>140</v>
      </c>
      <c r="F14">
        <v>700</v>
      </c>
      <c r="G14">
        <v>420</v>
      </c>
    </row>
    <row r="15" spans="1:7" x14ac:dyDescent="0.25">
      <c r="A15" s="4">
        <v>45741</v>
      </c>
      <c r="B15" t="s">
        <v>43</v>
      </c>
      <c r="C15" t="s">
        <v>29</v>
      </c>
      <c r="D15" t="s">
        <v>42</v>
      </c>
      <c r="E15">
        <v>150</v>
      </c>
      <c r="F15">
        <v>750</v>
      </c>
      <c r="G15">
        <v>450</v>
      </c>
    </row>
    <row r="16" spans="1:7" x14ac:dyDescent="0.25">
      <c r="A16" s="4">
        <v>45741</v>
      </c>
      <c r="B16" t="s">
        <v>44</v>
      </c>
      <c r="C16" t="s">
        <v>30</v>
      </c>
      <c r="D16" t="s">
        <v>45</v>
      </c>
      <c r="E16">
        <v>200</v>
      </c>
      <c r="F16">
        <v>800</v>
      </c>
      <c r="G16">
        <v>500</v>
      </c>
    </row>
    <row r="17" spans="1:7" x14ac:dyDescent="0.25">
      <c r="A17" s="4">
        <v>45741</v>
      </c>
      <c r="B17" t="s">
        <v>46</v>
      </c>
      <c r="C17" t="s">
        <v>31</v>
      </c>
      <c r="D17" t="s">
        <v>45</v>
      </c>
      <c r="E17">
        <v>170</v>
      </c>
      <c r="F17">
        <v>680</v>
      </c>
      <c r="G17">
        <v>410</v>
      </c>
    </row>
    <row r="18" spans="1:7" x14ac:dyDescent="0.25">
      <c r="A18" s="4">
        <v>45741</v>
      </c>
      <c r="B18" t="s">
        <v>47</v>
      </c>
      <c r="C18" t="s">
        <v>32</v>
      </c>
      <c r="D18" t="s">
        <v>48</v>
      </c>
      <c r="E18">
        <v>210</v>
      </c>
      <c r="F18">
        <v>1050</v>
      </c>
      <c r="G18">
        <v>670</v>
      </c>
    </row>
    <row r="19" spans="1:7" x14ac:dyDescent="0.25">
      <c r="A19" s="4">
        <v>45741</v>
      </c>
      <c r="B19" t="s">
        <v>49</v>
      </c>
      <c r="C19" t="s">
        <v>33</v>
      </c>
      <c r="D19" t="s">
        <v>48</v>
      </c>
      <c r="E19">
        <v>120</v>
      </c>
      <c r="F19">
        <v>600</v>
      </c>
      <c r="G19">
        <v>360</v>
      </c>
    </row>
    <row r="20" spans="1:7" x14ac:dyDescent="0.25">
      <c r="A20" s="4">
        <v>45772</v>
      </c>
      <c r="B20" t="s">
        <v>41</v>
      </c>
      <c r="C20" t="s">
        <v>29</v>
      </c>
      <c r="D20" t="s">
        <v>42</v>
      </c>
      <c r="E20">
        <v>160</v>
      </c>
      <c r="F20">
        <v>800</v>
      </c>
      <c r="G20">
        <v>480</v>
      </c>
    </row>
    <row r="21" spans="1:7" x14ac:dyDescent="0.25">
      <c r="A21" s="4">
        <v>45772</v>
      </c>
      <c r="B21" t="s">
        <v>43</v>
      </c>
      <c r="C21" t="s">
        <v>30</v>
      </c>
      <c r="D21" t="s">
        <v>42</v>
      </c>
      <c r="E21">
        <v>130</v>
      </c>
      <c r="F21">
        <v>650</v>
      </c>
      <c r="G21">
        <v>390</v>
      </c>
    </row>
    <row r="22" spans="1:7" x14ac:dyDescent="0.25">
      <c r="A22" s="4">
        <v>45772</v>
      </c>
      <c r="B22" t="s">
        <v>44</v>
      </c>
      <c r="C22" t="s">
        <v>31</v>
      </c>
      <c r="D22" t="s">
        <v>45</v>
      </c>
      <c r="E22">
        <v>190</v>
      </c>
      <c r="F22">
        <v>760</v>
      </c>
      <c r="G22">
        <v>460</v>
      </c>
    </row>
    <row r="23" spans="1:7" x14ac:dyDescent="0.25">
      <c r="A23" s="4">
        <v>45772</v>
      </c>
      <c r="B23" t="s">
        <v>46</v>
      </c>
      <c r="C23" t="s">
        <v>32</v>
      </c>
      <c r="D23" t="s">
        <v>45</v>
      </c>
      <c r="E23">
        <v>180</v>
      </c>
      <c r="F23">
        <v>720</v>
      </c>
      <c r="G23">
        <v>440</v>
      </c>
    </row>
    <row r="24" spans="1:7" x14ac:dyDescent="0.25">
      <c r="A24" s="4">
        <v>45772</v>
      </c>
      <c r="B24" t="s">
        <v>47</v>
      </c>
      <c r="C24" t="s">
        <v>33</v>
      </c>
      <c r="D24" t="s">
        <v>48</v>
      </c>
      <c r="E24">
        <v>220</v>
      </c>
      <c r="F24">
        <v>1100</v>
      </c>
      <c r="G24">
        <v>700</v>
      </c>
    </row>
    <row r="25" spans="1:7" x14ac:dyDescent="0.25">
      <c r="A25" s="4">
        <v>45772</v>
      </c>
      <c r="B25" t="s">
        <v>49</v>
      </c>
      <c r="C25" t="s">
        <v>34</v>
      </c>
      <c r="D25" t="s">
        <v>48</v>
      </c>
      <c r="E25">
        <v>130</v>
      </c>
      <c r="F25">
        <v>650</v>
      </c>
      <c r="G25">
        <v>400</v>
      </c>
    </row>
    <row r="26" spans="1:7" x14ac:dyDescent="0.25">
      <c r="A26" s="4">
        <v>45802</v>
      </c>
      <c r="B26" t="s">
        <v>41</v>
      </c>
      <c r="C26" t="s">
        <v>28</v>
      </c>
      <c r="D26" t="s">
        <v>42</v>
      </c>
      <c r="E26">
        <v>150</v>
      </c>
      <c r="F26">
        <v>750</v>
      </c>
      <c r="G26">
        <v>450</v>
      </c>
    </row>
    <row r="27" spans="1:7" x14ac:dyDescent="0.25">
      <c r="A27" s="4">
        <v>45802</v>
      </c>
      <c r="B27" t="s">
        <v>43</v>
      </c>
      <c r="C27" t="s">
        <v>29</v>
      </c>
      <c r="D27" t="s">
        <v>42</v>
      </c>
      <c r="E27">
        <v>160</v>
      </c>
      <c r="F27">
        <v>800</v>
      </c>
      <c r="G27">
        <v>480</v>
      </c>
    </row>
    <row r="28" spans="1:7" x14ac:dyDescent="0.25">
      <c r="A28" s="4">
        <v>45802</v>
      </c>
      <c r="B28" t="s">
        <v>44</v>
      </c>
      <c r="C28" t="s">
        <v>30</v>
      </c>
      <c r="D28" t="s">
        <v>45</v>
      </c>
      <c r="E28">
        <v>210</v>
      </c>
      <c r="F28">
        <v>840</v>
      </c>
      <c r="G28">
        <v>520</v>
      </c>
    </row>
    <row r="29" spans="1:7" x14ac:dyDescent="0.25">
      <c r="A29" s="4">
        <v>45802</v>
      </c>
      <c r="B29" t="s">
        <v>46</v>
      </c>
      <c r="C29" t="s">
        <v>31</v>
      </c>
      <c r="D29" t="s">
        <v>45</v>
      </c>
      <c r="E29">
        <v>190</v>
      </c>
      <c r="F29">
        <v>760</v>
      </c>
      <c r="G29">
        <v>460</v>
      </c>
    </row>
    <row r="30" spans="1:7" x14ac:dyDescent="0.25">
      <c r="A30" s="4">
        <v>45802</v>
      </c>
      <c r="B30" t="s">
        <v>47</v>
      </c>
      <c r="C30" t="s">
        <v>32</v>
      </c>
      <c r="D30" t="s">
        <v>48</v>
      </c>
      <c r="E30">
        <v>230</v>
      </c>
      <c r="F30">
        <v>1150</v>
      </c>
      <c r="G30">
        <v>720</v>
      </c>
    </row>
    <row r="31" spans="1:7" x14ac:dyDescent="0.25">
      <c r="A31" s="4">
        <v>45802</v>
      </c>
      <c r="B31" t="s">
        <v>49</v>
      </c>
      <c r="C31" t="s">
        <v>33</v>
      </c>
      <c r="D31" t="s">
        <v>48</v>
      </c>
      <c r="E31">
        <v>140</v>
      </c>
      <c r="F31">
        <v>700</v>
      </c>
      <c r="G31">
        <v>430</v>
      </c>
    </row>
    <row r="32" spans="1:7" x14ac:dyDescent="0.25">
      <c r="A32" s="4">
        <v>45833</v>
      </c>
      <c r="B32" t="s">
        <v>41</v>
      </c>
      <c r="C32" t="s">
        <v>29</v>
      </c>
      <c r="D32" t="s">
        <v>42</v>
      </c>
      <c r="E32">
        <v>170</v>
      </c>
      <c r="F32">
        <v>850</v>
      </c>
      <c r="G32">
        <v>510</v>
      </c>
    </row>
    <row r="33" spans="1:7" x14ac:dyDescent="0.25">
      <c r="A33" s="4">
        <v>45833</v>
      </c>
      <c r="B33" t="s">
        <v>43</v>
      </c>
      <c r="C33" t="s">
        <v>30</v>
      </c>
      <c r="D33" t="s">
        <v>42</v>
      </c>
      <c r="E33">
        <v>140</v>
      </c>
      <c r="F33">
        <v>700</v>
      </c>
      <c r="G33">
        <v>420</v>
      </c>
    </row>
    <row r="34" spans="1:7" x14ac:dyDescent="0.25">
      <c r="A34" s="4">
        <v>45833</v>
      </c>
      <c r="B34" t="s">
        <v>44</v>
      </c>
      <c r="C34" t="s">
        <v>31</v>
      </c>
      <c r="D34" t="s">
        <v>45</v>
      </c>
      <c r="E34">
        <v>200</v>
      </c>
      <c r="F34">
        <v>800</v>
      </c>
      <c r="G34">
        <v>480</v>
      </c>
    </row>
    <row r="35" spans="1:7" x14ac:dyDescent="0.25">
      <c r="A35" s="4">
        <v>45833</v>
      </c>
      <c r="B35" t="s">
        <v>46</v>
      </c>
      <c r="C35" t="s">
        <v>32</v>
      </c>
      <c r="D35" t="s">
        <v>45</v>
      </c>
      <c r="E35">
        <v>180</v>
      </c>
      <c r="F35">
        <v>720</v>
      </c>
      <c r="G35">
        <v>430</v>
      </c>
    </row>
    <row r="36" spans="1:7" x14ac:dyDescent="0.25">
      <c r="A36" s="4">
        <v>45833</v>
      </c>
      <c r="B36" t="s">
        <v>47</v>
      </c>
      <c r="C36" t="s">
        <v>33</v>
      </c>
      <c r="D36" t="s">
        <v>48</v>
      </c>
      <c r="E36">
        <v>220</v>
      </c>
      <c r="F36">
        <v>1100</v>
      </c>
      <c r="G36">
        <v>680</v>
      </c>
    </row>
    <row r="37" spans="1:7" x14ac:dyDescent="0.25">
      <c r="A37" s="4">
        <v>45833</v>
      </c>
      <c r="B37" t="s">
        <v>49</v>
      </c>
      <c r="C37" t="s">
        <v>34</v>
      </c>
      <c r="D37" t="s">
        <v>48</v>
      </c>
      <c r="E37">
        <v>130</v>
      </c>
      <c r="F37">
        <v>650</v>
      </c>
      <c r="G37">
        <v>390</v>
      </c>
    </row>
    <row r="38" spans="1:7" x14ac:dyDescent="0.25">
      <c r="A38" s="4">
        <v>45863</v>
      </c>
      <c r="B38" t="s">
        <v>41</v>
      </c>
      <c r="C38" t="s">
        <v>28</v>
      </c>
      <c r="D38" t="s">
        <v>42</v>
      </c>
      <c r="E38">
        <v>160</v>
      </c>
      <c r="F38">
        <v>800</v>
      </c>
      <c r="G38">
        <v>480</v>
      </c>
    </row>
    <row r="39" spans="1:7" x14ac:dyDescent="0.25">
      <c r="A39" s="4">
        <v>45863</v>
      </c>
      <c r="B39" t="s">
        <v>43</v>
      </c>
      <c r="C39" t="s">
        <v>29</v>
      </c>
      <c r="D39" t="s">
        <v>42</v>
      </c>
      <c r="E39">
        <v>150</v>
      </c>
      <c r="F39">
        <v>750</v>
      </c>
      <c r="G39">
        <v>450</v>
      </c>
    </row>
    <row r="40" spans="1:7" x14ac:dyDescent="0.25">
      <c r="A40" s="4">
        <v>45863</v>
      </c>
      <c r="B40" t="s">
        <v>44</v>
      </c>
      <c r="C40" t="s">
        <v>30</v>
      </c>
      <c r="D40" t="s">
        <v>45</v>
      </c>
      <c r="E40">
        <v>210</v>
      </c>
      <c r="F40">
        <v>840</v>
      </c>
      <c r="G40">
        <v>500</v>
      </c>
    </row>
    <row r="41" spans="1:7" x14ac:dyDescent="0.25">
      <c r="A41" s="4">
        <v>45863</v>
      </c>
      <c r="B41" t="s">
        <v>46</v>
      </c>
      <c r="C41" t="s">
        <v>31</v>
      </c>
      <c r="D41" t="s">
        <v>45</v>
      </c>
      <c r="E41">
        <v>190</v>
      </c>
      <c r="F41">
        <v>760</v>
      </c>
      <c r="G41">
        <v>460</v>
      </c>
    </row>
    <row r="42" spans="1:7" x14ac:dyDescent="0.25">
      <c r="A42" s="4">
        <v>45863</v>
      </c>
      <c r="B42" t="s">
        <v>47</v>
      </c>
      <c r="C42" t="s">
        <v>32</v>
      </c>
      <c r="D42" t="s">
        <v>48</v>
      </c>
      <c r="E42">
        <v>240</v>
      </c>
      <c r="F42">
        <v>1200</v>
      </c>
      <c r="G42">
        <v>750</v>
      </c>
    </row>
    <row r="43" spans="1:7" x14ac:dyDescent="0.25">
      <c r="A43" s="4">
        <v>45863</v>
      </c>
      <c r="B43" t="s">
        <v>49</v>
      </c>
      <c r="C43" t="s">
        <v>33</v>
      </c>
      <c r="D43" t="s">
        <v>48</v>
      </c>
      <c r="E43">
        <v>150</v>
      </c>
      <c r="F43">
        <v>750</v>
      </c>
      <c r="G43">
        <v>450</v>
      </c>
    </row>
    <row r="44" spans="1:7" x14ac:dyDescent="0.25">
      <c r="A44" s="4">
        <v>45894</v>
      </c>
      <c r="B44" t="s">
        <v>41</v>
      </c>
      <c r="C44" t="s">
        <v>28</v>
      </c>
      <c r="D44" t="s">
        <v>42</v>
      </c>
      <c r="E44">
        <v>170</v>
      </c>
      <c r="F44">
        <v>850</v>
      </c>
      <c r="G44">
        <v>510</v>
      </c>
    </row>
    <row r="45" spans="1:7" x14ac:dyDescent="0.25">
      <c r="A45" s="4">
        <v>45894</v>
      </c>
      <c r="B45" t="s">
        <v>43</v>
      </c>
      <c r="C45" t="s">
        <v>29</v>
      </c>
      <c r="D45" t="s">
        <v>42</v>
      </c>
      <c r="E45">
        <v>160</v>
      </c>
      <c r="F45">
        <v>800</v>
      </c>
      <c r="G45">
        <v>480</v>
      </c>
    </row>
    <row r="46" spans="1:7" x14ac:dyDescent="0.25">
      <c r="A46" s="4">
        <v>45894</v>
      </c>
      <c r="B46" t="s">
        <v>44</v>
      </c>
      <c r="C46" t="s">
        <v>30</v>
      </c>
      <c r="D46" t="s">
        <v>45</v>
      </c>
      <c r="E46">
        <v>220</v>
      </c>
      <c r="F46">
        <v>880</v>
      </c>
      <c r="G46">
        <v>530</v>
      </c>
    </row>
    <row r="47" spans="1:7" x14ac:dyDescent="0.25">
      <c r="A47" s="4">
        <v>45894</v>
      </c>
      <c r="B47" t="s">
        <v>46</v>
      </c>
      <c r="C47" t="s">
        <v>31</v>
      </c>
      <c r="D47" t="s">
        <v>45</v>
      </c>
      <c r="E47">
        <v>200</v>
      </c>
      <c r="F47">
        <v>800</v>
      </c>
      <c r="G47">
        <v>470</v>
      </c>
    </row>
    <row r="48" spans="1:7" x14ac:dyDescent="0.25">
      <c r="A48" s="4">
        <v>45894</v>
      </c>
      <c r="B48" t="s">
        <v>47</v>
      </c>
      <c r="C48" t="s">
        <v>32</v>
      </c>
      <c r="D48" t="s">
        <v>48</v>
      </c>
      <c r="E48">
        <v>250</v>
      </c>
      <c r="F48">
        <v>1250</v>
      </c>
      <c r="G48">
        <v>780</v>
      </c>
    </row>
    <row r="49" spans="1:7" x14ac:dyDescent="0.25">
      <c r="A49" s="4">
        <v>45894</v>
      </c>
      <c r="B49" t="s">
        <v>49</v>
      </c>
      <c r="C49" t="s">
        <v>33</v>
      </c>
      <c r="D49" t="s">
        <v>48</v>
      </c>
      <c r="E49">
        <v>140</v>
      </c>
      <c r="F49">
        <v>700</v>
      </c>
      <c r="G49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BF6A-BA95-44EB-B659-B9E2A2268965}">
  <dimension ref="A1:AH8"/>
  <sheetViews>
    <sheetView topLeftCell="A2" workbookViewId="0">
      <selection activeCell="C1" sqref="C1"/>
    </sheetView>
  </sheetViews>
  <sheetFormatPr defaultColWidth="13.42578125" defaultRowHeight="15" x14ac:dyDescent="0.25"/>
  <sheetData>
    <row r="1" spans="1:34" x14ac:dyDescent="0.25">
      <c r="A1" t="s">
        <v>50</v>
      </c>
      <c r="B1" t="s">
        <v>50</v>
      </c>
      <c r="C1" s="4">
        <v>45682</v>
      </c>
      <c r="D1" s="4">
        <v>45682</v>
      </c>
      <c r="E1" s="4">
        <v>45682</v>
      </c>
      <c r="F1" s="4">
        <v>45682</v>
      </c>
      <c r="G1" s="4">
        <v>45713</v>
      </c>
      <c r="H1" s="4">
        <v>45713</v>
      </c>
      <c r="I1" s="4">
        <v>45713</v>
      </c>
      <c r="J1" s="4">
        <v>45713</v>
      </c>
      <c r="K1" s="4">
        <v>45741</v>
      </c>
      <c r="L1" s="4">
        <v>45741</v>
      </c>
      <c r="M1" s="4">
        <v>45741</v>
      </c>
      <c r="N1" s="4">
        <v>45741</v>
      </c>
      <c r="O1" s="4">
        <v>45772</v>
      </c>
      <c r="P1" s="4">
        <v>45772</v>
      </c>
      <c r="Q1" s="4">
        <v>45772</v>
      </c>
      <c r="R1" s="4">
        <v>45772</v>
      </c>
      <c r="S1" s="4">
        <v>45802</v>
      </c>
      <c r="T1" s="4">
        <v>45802</v>
      </c>
      <c r="U1" s="4">
        <v>45802</v>
      </c>
      <c r="V1" s="4">
        <v>45802</v>
      </c>
      <c r="W1" s="4">
        <v>45833</v>
      </c>
      <c r="X1" s="4">
        <v>45833</v>
      </c>
      <c r="Y1" s="4">
        <v>45833</v>
      </c>
      <c r="Z1" s="4">
        <v>45833</v>
      </c>
      <c r="AA1" s="4">
        <v>45863</v>
      </c>
      <c r="AB1" s="4">
        <v>45863</v>
      </c>
      <c r="AC1" s="4">
        <v>45863</v>
      </c>
      <c r="AD1" s="4">
        <v>45863</v>
      </c>
      <c r="AE1" s="4">
        <v>45894</v>
      </c>
      <c r="AF1" s="4">
        <v>45894</v>
      </c>
      <c r="AG1" s="4">
        <v>45894</v>
      </c>
      <c r="AH1" s="4">
        <v>45894</v>
      </c>
    </row>
    <row r="2" spans="1:34" s="3" customFormat="1" ht="45" x14ac:dyDescent="0.25">
      <c r="A2" s="3" t="s">
        <v>37</v>
      </c>
      <c r="B2" s="3" t="s">
        <v>38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51</v>
      </c>
      <c r="X2" s="3" t="s">
        <v>52</v>
      </c>
      <c r="Y2" s="3" t="s">
        <v>53</v>
      </c>
      <c r="Z2" s="3" t="s">
        <v>54</v>
      </c>
      <c r="AA2" s="3" t="s">
        <v>51</v>
      </c>
      <c r="AB2" s="3" t="s">
        <v>52</v>
      </c>
      <c r="AC2" s="3" t="s">
        <v>53</v>
      </c>
      <c r="AD2" s="3" t="s">
        <v>54</v>
      </c>
      <c r="AE2" s="3" t="s">
        <v>51</v>
      </c>
      <c r="AF2" s="3" t="s">
        <v>52</v>
      </c>
      <c r="AG2" s="3" t="s">
        <v>53</v>
      </c>
      <c r="AH2" s="3" t="s">
        <v>54</v>
      </c>
    </row>
    <row r="3" spans="1:34" x14ac:dyDescent="0.25">
      <c r="A3" t="s">
        <v>41</v>
      </c>
      <c r="B3" t="s">
        <v>42</v>
      </c>
      <c r="C3" s="2">
        <v>0.46</v>
      </c>
      <c r="D3" s="2">
        <v>0.46</v>
      </c>
      <c r="E3" s="2">
        <v>0.46</v>
      </c>
      <c r="F3" s="2">
        <v>0.46</v>
      </c>
      <c r="G3" s="2">
        <v>0.52</v>
      </c>
      <c r="H3" s="2">
        <v>0.52</v>
      </c>
      <c r="I3" s="2">
        <v>0.52</v>
      </c>
      <c r="J3" s="2">
        <v>0.52</v>
      </c>
      <c r="K3" s="2">
        <v>0.48</v>
      </c>
      <c r="L3" s="2">
        <v>0.48</v>
      </c>
      <c r="M3" s="2">
        <v>0.48</v>
      </c>
      <c r="N3" s="2">
        <v>0.48</v>
      </c>
      <c r="O3" s="2">
        <v>0.55000000000000004</v>
      </c>
      <c r="P3" s="2">
        <v>0.55000000000000004</v>
      </c>
      <c r="Q3" s="2">
        <v>0.55000000000000004</v>
      </c>
      <c r="R3" s="2">
        <v>0.55000000000000004</v>
      </c>
      <c r="S3" s="2">
        <v>0.48</v>
      </c>
      <c r="T3" s="2">
        <v>0.48</v>
      </c>
      <c r="U3" s="2">
        <v>0.48</v>
      </c>
      <c r="V3" s="2">
        <v>0.48</v>
      </c>
      <c r="W3" s="2">
        <v>0.55000000000000004</v>
      </c>
      <c r="X3" s="2">
        <v>0.55000000000000004</v>
      </c>
      <c r="Y3" s="2">
        <v>0.55000000000000004</v>
      </c>
      <c r="Z3" s="2">
        <v>0.55000000000000004</v>
      </c>
      <c r="AA3" s="2">
        <v>0.52</v>
      </c>
      <c r="AB3" s="2">
        <v>0.52</v>
      </c>
      <c r="AC3" s="2">
        <v>0.52</v>
      </c>
      <c r="AD3" s="2">
        <v>0.52</v>
      </c>
      <c r="AE3" s="2">
        <v>0.52</v>
      </c>
      <c r="AF3" s="2">
        <v>0.52</v>
      </c>
      <c r="AG3" s="2">
        <v>0.52</v>
      </c>
      <c r="AH3" s="2">
        <v>0.52</v>
      </c>
    </row>
    <row r="4" spans="1:34" x14ac:dyDescent="0.25">
      <c r="A4" t="s">
        <v>43</v>
      </c>
      <c r="B4" t="s">
        <v>42</v>
      </c>
      <c r="C4" s="2">
        <v>0.54</v>
      </c>
      <c r="D4" s="2">
        <v>0.54</v>
      </c>
      <c r="E4" s="2">
        <v>0.54</v>
      </c>
      <c r="F4" s="2">
        <v>0.54</v>
      </c>
      <c r="G4" s="2">
        <v>0.48</v>
      </c>
      <c r="H4" s="2">
        <v>0.48</v>
      </c>
      <c r="I4" s="2">
        <v>0.48</v>
      </c>
      <c r="J4" s="2">
        <v>0.48</v>
      </c>
      <c r="K4" s="2">
        <v>0.52</v>
      </c>
      <c r="L4" s="2">
        <v>0.52</v>
      </c>
      <c r="M4" s="2">
        <v>0.52</v>
      </c>
      <c r="N4" s="2">
        <v>0.52</v>
      </c>
      <c r="O4" s="2">
        <v>0.45</v>
      </c>
      <c r="P4" s="2">
        <v>0.45</v>
      </c>
      <c r="Q4" s="2">
        <v>0.45</v>
      </c>
      <c r="R4" s="2">
        <v>0.45</v>
      </c>
      <c r="S4" s="2">
        <v>0.52</v>
      </c>
      <c r="T4" s="2">
        <v>0.52</v>
      </c>
      <c r="U4" s="2">
        <v>0.52</v>
      </c>
      <c r="V4" s="2">
        <v>0.52</v>
      </c>
      <c r="W4" s="2">
        <v>0.45</v>
      </c>
      <c r="X4" s="2">
        <v>0.45</v>
      </c>
      <c r="Y4" s="2">
        <v>0.45</v>
      </c>
      <c r="Z4" s="2">
        <v>0.45</v>
      </c>
      <c r="AA4" s="2">
        <v>0.48</v>
      </c>
      <c r="AB4" s="2">
        <v>0.48</v>
      </c>
      <c r="AC4" s="2">
        <v>0.48</v>
      </c>
      <c r="AD4" s="2">
        <v>0.48</v>
      </c>
      <c r="AE4" s="2">
        <v>0.48</v>
      </c>
      <c r="AF4" s="2">
        <v>0.48</v>
      </c>
      <c r="AG4" s="2">
        <v>0.48</v>
      </c>
      <c r="AH4" s="2">
        <v>0.48</v>
      </c>
    </row>
    <row r="5" spans="1:34" x14ac:dyDescent="0.25">
      <c r="A5" t="s">
        <v>44</v>
      </c>
      <c r="B5" t="s">
        <v>45</v>
      </c>
      <c r="C5" s="2">
        <v>0.55000000000000004</v>
      </c>
      <c r="D5" s="2">
        <v>0.55000000000000004</v>
      </c>
      <c r="E5" s="2">
        <v>0.55000000000000004</v>
      </c>
      <c r="F5" s="2">
        <v>0.54</v>
      </c>
      <c r="G5" s="2">
        <v>0.52</v>
      </c>
      <c r="H5" s="2">
        <v>0.52</v>
      </c>
      <c r="I5" s="2">
        <v>0.51</v>
      </c>
      <c r="J5" s="2">
        <v>0.52</v>
      </c>
      <c r="K5" s="2">
        <v>0.54</v>
      </c>
      <c r="L5" s="2">
        <v>0.54</v>
      </c>
      <c r="M5" s="2">
        <v>0.55000000000000004</v>
      </c>
      <c r="N5" s="2">
        <v>0.53</v>
      </c>
      <c r="O5" s="2">
        <v>0.51</v>
      </c>
      <c r="P5" s="2">
        <v>0.51</v>
      </c>
      <c r="Q5" s="2">
        <v>0.51</v>
      </c>
      <c r="R5" s="2">
        <v>0.52</v>
      </c>
      <c r="S5" s="2">
        <v>0.53</v>
      </c>
      <c r="T5" s="2">
        <v>0.53</v>
      </c>
      <c r="U5" s="2">
        <v>0.53</v>
      </c>
      <c r="V5" s="2">
        <v>0.52</v>
      </c>
      <c r="W5" s="2">
        <v>0.53</v>
      </c>
      <c r="X5" s="2">
        <v>0.53</v>
      </c>
      <c r="Y5" s="2">
        <v>0.53</v>
      </c>
      <c r="Z5" s="2">
        <v>0.52</v>
      </c>
      <c r="AA5" s="2">
        <v>0.53</v>
      </c>
      <c r="AB5" s="2">
        <v>0.53</v>
      </c>
      <c r="AC5" s="2">
        <v>0.52</v>
      </c>
      <c r="AD5" s="2">
        <v>0.53</v>
      </c>
      <c r="AE5" s="2">
        <v>0.52</v>
      </c>
      <c r="AF5" s="2">
        <v>0.52</v>
      </c>
      <c r="AG5" s="2">
        <v>0.53</v>
      </c>
      <c r="AH5" s="2">
        <v>0.51</v>
      </c>
    </row>
    <row r="6" spans="1:34" x14ac:dyDescent="0.25">
      <c r="A6" t="s">
        <v>46</v>
      </c>
      <c r="B6" t="s">
        <v>45</v>
      </c>
      <c r="C6" s="2">
        <v>0.45</v>
      </c>
      <c r="D6" s="2">
        <v>0.45</v>
      </c>
      <c r="E6" s="2">
        <v>0.45</v>
      </c>
      <c r="F6" s="2">
        <v>0.46</v>
      </c>
      <c r="G6" s="2">
        <v>0.48</v>
      </c>
      <c r="H6" s="2">
        <v>0.48</v>
      </c>
      <c r="I6" s="2">
        <v>0.49</v>
      </c>
      <c r="J6" s="2">
        <v>0.48</v>
      </c>
      <c r="K6" s="2">
        <v>0.46</v>
      </c>
      <c r="L6" s="2">
        <v>0.46</v>
      </c>
      <c r="M6" s="2">
        <v>0.45</v>
      </c>
      <c r="N6" s="2">
        <v>0.47</v>
      </c>
      <c r="O6" s="2">
        <v>0.49</v>
      </c>
      <c r="P6" s="2">
        <v>0.49</v>
      </c>
      <c r="Q6" s="2">
        <v>0.49</v>
      </c>
      <c r="R6" s="2">
        <v>0.48</v>
      </c>
      <c r="S6" s="2">
        <v>0.48</v>
      </c>
      <c r="T6" s="2">
        <v>0.48</v>
      </c>
      <c r="U6" s="2">
        <v>0.47</v>
      </c>
      <c r="V6" s="2">
        <v>0.48</v>
      </c>
      <c r="W6" s="2">
        <v>0.47</v>
      </c>
      <c r="X6" s="2">
        <v>0.47</v>
      </c>
      <c r="Y6" s="2">
        <v>0.47</v>
      </c>
      <c r="Z6" s="2">
        <v>0.48</v>
      </c>
      <c r="AA6" s="2">
        <v>0.48</v>
      </c>
      <c r="AB6" s="2">
        <v>0.48</v>
      </c>
      <c r="AC6" s="2">
        <v>0.48</v>
      </c>
      <c r="AD6" s="2">
        <v>0.47</v>
      </c>
      <c r="AE6" s="2">
        <v>0.48</v>
      </c>
      <c r="AF6" s="2">
        <v>0.48</v>
      </c>
      <c r="AG6" s="2">
        <v>0.47</v>
      </c>
      <c r="AH6" s="2">
        <v>0.49</v>
      </c>
    </row>
    <row r="7" spans="1:34" x14ac:dyDescent="0.25">
      <c r="A7" t="s">
        <v>47</v>
      </c>
      <c r="B7" t="s">
        <v>48</v>
      </c>
      <c r="C7" s="2">
        <v>0.67</v>
      </c>
      <c r="D7" s="2">
        <v>0.67</v>
      </c>
      <c r="E7" s="2">
        <v>0.67</v>
      </c>
      <c r="F7" s="2">
        <v>0.66</v>
      </c>
      <c r="G7" s="2">
        <v>0.63</v>
      </c>
      <c r="H7" s="2">
        <v>0.63</v>
      </c>
      <c r="I7" s="2">
        <v>0.63</v>
      </c>
      <c r="J7" s="2">
        <v>0.64</v>
      </c>
      <c r="K7" s="2">
        <v>0.64</v>
      </c>
      <c r="L7" s="2">
        <v>0.64</v>
      </c>
      <c r="M7" s="2">
        <v>0.65</v>
      </c>
      <c r="N7" s="2">
        <v>0.61</v>
      </c>
      <c r="O7" s="2">
        <v>0.63</v>
      </c>
      <c r="P7" s="2">
        <v>0.63</v>
      </c>
      <c r="Q7" s="2">
        <v>0.64</v>
      </c>
      <c r="R7" s="2">
        <v>0.62</v>
      </c>
      <c r="S7" s="2">
        <v>0.62</v>
      </c>
      <c r="T7" s="2">
        <v>0.62</v>
      </c>
      <c r="U7" s="2">
        <v>0.63</v>
      </c>
      <c r="V7" s="2">
        <v>0.61</v>
      </c>
      <c r="W7" s="2">
        <v>0.63</v>
      </c>
      <c r="X7" s="2">
        <v>0.63</v>
      </c>
      <c r="Y7" s="2">
        <v>0.64</v>
      </c>
      <c r="Z7" s="2">
        <v>0.62</v>
      </c>
      <c r="AA7" s="2">
        <v>0.62</v>
      </c>
      <c r="AB7" s="2">
        <v>0.62</v>
      </c>
      <c r="AC7" s="2">
        <v>0.63</v>
      </c>
      <c r="AD7" s="2">
        <v>0.6</v>
      </c>
      <c r="AE7" s="2">
        <v>0.64</v>
      </c>
      <c r="AF7" s="2">
        <v>0.64</v>
      </c>
      <c r="AG7" s="2">
        <v>0.65</v>
      </c>
      <c r="AH7" s="2">
        <v>0.63</v>
      </c>
    </row>
    <row r="8" spans="1:34" x14ac:dyDescent="0.25">
      <c r="A8" t="s">
        <v>49</v>
      </c>
      <c r="B8" t="s">
        <v>48</v>
      </c>
      <c r="C8" s="2">
        <v>0.33</v>
      </c>
      <c r="D8" s="2">
        <v>0.33</v>
      </c>
      <c r="E8" s="2">
        <v>0.33</v>
      </c>
      <c r="F8" s="2">
        <v>0.34</v>
      </c>
      <c r="G8" s="2">
        <v>0.37</v>
      </c>
      <c r="H8" s="2">
        <v>0.37</v>
      </c>
      <c r="I8" s="2">
        <v>0.37</v>
      </c>
      <c r="J8" s="2">
        <v>0.36</v>
      </c>
      <c r="K8" s="2">
        <v>0.36</v>
      </c>
      <c r="L8" s="2">
        <v>0.36</v>
      </c>
      <c r="M8" s="2">
        <v>0.35</v>
      </c>
      <c r="N8" s="2">
        <v>0.39</v>
      </c>
      <c r="O8" s="2">
        <v>0.37</v>
      </c>
      <c r="P8" s="2">
        <v>0.37</v>
      </c>
      <c r="Q8" s="2">
        <v>0.36</v>
      </c>
      <c r="R8" s="2">
        <v>0.38</v>
      </c>
      <c r="S8" s="2">
        <v>0.38</v>
      </c>
      <c r="T8" s="2">
        <v>0.38</v>
      </c>
      <c r="U8" s="2">
        <v>0.37</v>
      </c>
      <c r="V8" s="2">
        <v>0.39</v>
      </c>
      <c r="W8" s="2">
        <v>0.37</v>
      </c>
      <c r="X8" s="2">
        <v>0.37</v>
      </c>
      <c r="Y8" s="2">
        <v>0.36</v>
      </c>
      <c r="Z8" s="2">
        <v>0.38</v>
      </c>
      <c r="AA8" s="2">
        <v>0.38</v>
      </c>
      <c r="AB8" s="2">
        <v>0.38</v>
      </c>
      <c r="AC8" s="2">
        <v>0.38</v>
      </c>
      <c r="AD8" s="2">
        <v>0.4</v>
      </c>
      <c r="AE8" s="2">
        <v>0.36</v>
      </c>
      <c r="AF8" s="2">
        <v>0.36</v>
      </c>
      <c r="AG8" s="2">
        <v>0.35</v>
      </c>
      <c r="AH8" s="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excel_test</vt:lpstr>
      <vt:lpstr>sql_test-raw</vt:lpstr>
      <vt:lpstr>sql_test-expected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Cheah</dc:creator>
  <cp:lastModifiedBy>CHING JYH SHEN BASIL</cp:lastModifiedBy>
  <dcterms:created xsi:type="dcterms:W3CDTF">2024-09-30T03:39:44Z</dcterms:created>
  <dcterms:modified xsi:type="dcterms:W3CDTF">2025-10-28T18:08:17Z</dcterms:modified>
</cp:coreProperties>
</file>